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++\3 курс\IAD\lab2\"/>
    </mc:Choice>
  </mc:AlternateContent>
  <xr:revisionPtr revIDLastSave="0" documentId="13_ncr:1_{11FB156A-5DF3-45E5-A43D-5DA7F9EF898F}" xr6:coauthVersionLast="45" xr6:coauthVersionMax="45" xr10:uidLastSave="{00000000-0000-0000-0000-000000000000}"/>
  <bookViews>
    <workbookView xWindow="-108" yWindow="-108" windowWidth="23256" windowHeight="12576" activeTab="1" xr2:uid="{C5E1D11A-C51A-438A-A978-C6CD5343D0D5}"/>
  </bookViews>
  <sheets>
    <sheet name="Sensitivity Report 2" sheetId="3" r:id="rId1"/>
    <sheet name="Sheet1" sheetId="1" r:id="rId2"/>
  </sheets>
  <definedNames>
    <definedName name="solver_adj" localSheetId="1" hidden="1">Sheet1!$B$2,Sheet1!$C$2,Sheet1!$D$2,Sheet1!$E$2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Sheet1!$F$10</definedName>
    <definedName name="solver_lhs2" localSheetId="1" hidden="1">Sheet1!$F$11</definedName>
    <definedName name="solver_lhs3" localSheetId="1" hidden="1">Sheet1!$F$12</definedName>
    <definedName name="solver_lhs4" localSheetId="1" hidden="1">Sheet1!$F$13</definedName>
    <definedName name="solver_lhs5" localSheetId="1" hidden="1">Sheet1!$F$9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Sheet1!$C$5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hs1" localSheetId="1" hidden="1">Sheet1!$G$10</definedName>
    <definedName name="solver_rhs2" localSheetId="1" hidden="1">Sheet1!$G$11</definedName>
    <definedName name="solver_rhs3" localSheetId="1" hidden="1">Sheet1!$G$12</definedName>
    <definedName name="solver_rhs4" localSheetId="1" hidden="1">Sheet1!$G$13</definedName>
    <definedName name="solver_rhs5" localSheetId="1" hidden="1">Sheet1!$G$9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" l="1"/>
  <c r="F10" i="1"/>
  <c r="F11" i="1"/>
  <c r="F12" i="1"/>
  <c r="F13" i="1"/>
  <c r="F9" i="1"/>
</calcChain>
</file>

<file path=xl/sharedStrings.xml><?xml version="1.0" encoding="utf-8"?>
<sst xmlns="http://schemas.openxmlformats.org/spreadsheetml/2006/main" count="65" uniqueCount="52">
  <si>
    <t>Буклет</t>
  </si>
  <si>
    <t>Каталог</t>
  </si>
  <si>
    <t>Календар</t>
  </si>
  <si>
    <t>Плакат</t>
  </si>
  <si>
    <t>крейдований папір</t>
  </si>
  <si>
    <t>офсетний папір</t>
  </si>
  <si>
    <t>фарба</t>
  </si>
  <si>
    <t>друкарська машинка</t>
  </si>
  <si>
    <t>різка і фальцювання</t>
  </si>
  <si>
    <t>Цільова функція (Z)</t>
  </si>
  <si>
    <t>Змінні рішення (x):</t>
  </si>
  <si>
    <t>прибуток</t>
  </si>
  <si>
    <t>Запас</t>
  </si>
  <si>
    <t>Microsoft Excel 16.0 Sensitivity Report</t>
  </si>
  <si>
    <t>Worksheet: [Book1]Sheet1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</si>
  <si>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</si>
  <si>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</si>
  <si>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</si>
  <si>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</si>
  <si>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</si>
  <si>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</si>
  <si>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</si>
  <si>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</si>
  <si>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</si>
  <si>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</si>
  <si>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</si>
  <si>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</si>
  <si>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</si>
  <si>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</si>
  <si>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</si>
  <si>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</si>
  <si>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</si>
  <si>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$B$2</t>
  </si>
  <si>
    <t>Змінні рішення (x): Буклет</t>
  </si>
  <si>
    <t>$C$2</t>
  </si>
  <si>
    <t>Змінні рішення (x): Каталог</t>
  </si>
  <si>
    <t>$D$2</t>
  </si>
  <si>
    <t>Змінні рішення (x): Календар</t>
  </si>
  <si>
    <t>$E$2</t>
  </si>
  <si>
    <t>Змінні рішення (x): Плакат</t>
  </si>
  <si>
    <t>$F$10</t>
  </si>
  <si>
    <t>$F$11</t>
  </si>
  <si>
    <t>$F$12</t>
  </si>
  <si>
    <t>$F$13</t>
  </si>
  <si>
    <t>$F$9</t>
  </si>
  <si>
    <t>Витрати</t>
  </si>
  <si>
    <t>Report Created: 29.09.2026 19:20:26</t>
  </si>
  <si>
    <t>офсетний папір Витрати</t>
  </si>
  <si>
    <t>фарба Витрати</t>
  </si>
  <si>
    <t>друкарська машинка Витрати</t>
  </si>
  <si>
    <t>різка і фальцювання Витрати</t>
  </si>
  <si>
    <t>крейдований папір Витрати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</si>
</sst>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129540</xdr:colOff>
      <xdr:row>1</xdr:row>
      <xdr:rowOff>68580</xdr:rowOff>
    </xdr:from>
    <xdr:to>
      <xdr:col>21</xdr:col>
      <xdr:colOff>330529</xdr:colOff>
      <xdr:row>31</xdr:row>
      <xdr:rowOff>116977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6C2187-EB60-426A-A669-ABC8AB579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5540" y="251460"/>
          <a:ext cx="6906589" cy="5534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7CC3-3D60-4271-AA2D-A9D37FCE2801}">
  <dimension ref="A1:H21"/>
  <sheetViews>
    <sheetView showGridLines="0" workbookViewId="0">
      <selection activeCell="E25" sqref="E25"/>
    </sheetView>
  </sheetViews>
  <sheetFormatPr defaultRowHeight="14.4" x14ac:dyDescent="0.3"/>
  <cols>
    <col min="1" max="1" width="2.33203125" customWidth="1"/>
    <col min="2" max="2" width="5.88671875" bestFit="1" customWidth="1"/>
    <col min="3" max="3" width="26.6640625" bestFit="1" customWidth="1"/>
    <col min="4" max="4" width="12" bestFit="1" customWidth="1"/>
    <col min="5" max="5" width="12.6640625" bestFit="1" customWidth="1"/>
    <col min="6" max="6" width="10.109375" bestFit="1" customWidth="1"/>
    <col min="7" max="8" width="12" bestFit="1" customWidth="1"/>
  </cols>
  <sheetData>
    <row r="1" spans="1:8" x14ac:dyDescent="0.3">
      <c r="A1" s="2" t="s">
        <v>13</v>
      </c>
    </row>
    <row r="2" spans="1:8" x14ac:dyDescent="0.3">
      <c r="A2" s="2" t="s">
        <v>14</v>
      </c>
    </row>
    <row r="3" spans="1:8" x14ac:dyDescent="0.3">
      <c r="A3" s="2" t="s">
        <v>46</v>
      </c>
    </row>
    <row r="6" spans="1:8" ht="15" thickBot="1" x14ac:dyDescent="0.35">
      <c r="A6" t="s">
        <v>15</v>
      </c>
    </row>
    <row r="7" spans="1:8" x14ac:dyDescent="0.3">
      <c r="B7" s="5"/>
      <c r="C7" s="5"/>
      <c r="D7" s="5" t="s">
        <v>18</v>
      </c>
      <c r="E7" s="5" t="s">
        <v>20</v>
      </c>
      <c r="F7" s="5" t="s">
        <v>22</v>
      </c>
      <c r="G7" s="5" t="s">
        <v>24</v>
      </c>
      <c r="H7" s="5" t="s">
        <v>24</v>
      </c>
    </row>
    <row r="8" spans="1:8" ht="15" thickBot="1" x14ac:dyDescent="0.35">
      <c r="B8" s="6" t="s">
        <v>16</v>
      </c>
      <c r="C8" s="6" t="s">
        <v>17</v>
      </c>
      <c r="D8" s="6" t="s">
        <v>19</v>
      </c>
      <c r="E8" s="6" t="s">
        <v>21</v>
      </c>
      <c r="F8" s="6" t="s">
        <v>23</v>
      </c>
      <c r="G8" s="6" t="s">
        <v>25</v>
      </c>
      <c r="H8" s="6" t="s">
        <v>26</v>
      </c>
    </row>
    <row r="9" spans="1:8" x14ac:dyDescent="0.3">
      <c r="B9" s="3" t="s">
        <v>32</v>
      </c>
      <c r="C9" s="3" t="s">
        <v>33</v>
      </c>
      <c r="D9" s="3">
        <v>0</v>
      </c>
      <c r="E9" s="3">
        <v>-15.333333333333332</v>
      </c>
      <c r="F9" s="3">
        <v>39</v>
      </c>
      <c r="G9" s="3">
        <v>15.333333333333332</v>
      </c>
      <c r="H9" s="3">
        <v>1E+30</v>
      </c>
    </row>
    <row r="10" spans="1:8" x14ac:dyDescent="0.3">
      <c r="B10" s="3" t="s">
        <v>34</v>
      </c>
      <c r="C10" s="3" t="s">
        <v>35</v>
      </c>
      <c r="D10" s="3">
        <v>73.291666666666657</v>
      </c>
      <c r="E10" s="3">
        <v>0</v>
      </c>
      <c r="F10" s="3">
        <v>55</v>
      </c>
      <c r="G10" s="3">
        <v>53.000000000000007</v>
      </c>
      <c r="H10" s="3">
        <v>33.4</v>
      </c>
    </row>
    <row r="11" spans="1:8" x14ac:dyDescent="0.3">
      <c r="B11" s="3" t="s">
        <v>36</v>
      </c>
      <c r="C11" s="3" t="s">
        <v>37</v>
      </c>
      <c r="D11" s="3">
        <v>47.625</v>
      </c>
      <c r="E11" s="3">
        <v>0</v>
      </c>
      <c r="F11" s="3">
        <v>36</v>
      </c>
      <c r="G11" s="3">
        <v>55.666666666666657</v>
      </c>
      <c r="H11" s="3">
        <v>15.333333333333332</v>
      </c>
    </row>
    <row r="12" spans="1:8" ht="15" thickBot="1" x14ac:dyDescent="0.35">
      <c r="B12" s="4" t="s">
        <v>38</v>
      </c>
      <c r="C12" s="4" t="s">
        <v>39</v>
      </c>
      <c r="D12" s="4">
        <v>0</v>
      </c>
      <c r="E12" s="4">
        <v>-19.5</v>
      </c>
      <c r="F12" s="4">
        <v>26</v>
      </c>
      <c r="G12" s="4">
        <v>19.5</v>
      </c>
      <c r="H12" s="4">
        <v>1E+30</v>
      </c>
    </row>
    <row r="14" spans="1:8" ht="15" thickBot="1" x14ac:dyDescent="0.35">
      <c r="A14" t="s">
        <v>27</v>
      </c>
    </row>
    <row r="15" spans="1:8" x14ac:dyDescent="0.3">
      <c r="B15" s="5"/>
      <c r="C15" s="5"/>
      <c r="D15" s="5" t="s">
        <v>18</v>
      </c>
      <c r="E15" s="5" t="s">
        <v>28</v>
      </c>
      <c r="F15" s="5" t="s">
        <v>30</v>
      </c>
      <c r="G15" s="5" t="s">
        <v>24</v>
      </c>
      <c r="H15" s="5" t="s">
        <v>24</v>
      </c>
    </row>
    <row r="16" spans="1:8" ht="15" thickBot="1" x14ac:dyDescent="0.35">
      <c r="B16" s="6" t="s">
        <v>16</v>
      </c>
      <c r="C16" s="6" t="s">
        <v>17</v>
      </c>
      <c r="D16" s="6" t="s">
        <v>19</v>
      </c>
      <c r="E16" s="6" t="s">
        <v>29</v>
      </c>
      <c r="F16" s="6" t="s">
        <v>31</v>
      </c>
      <c r="G16" s="6" t="s">
        <v>25</v>
      </c>
      <c r="H16" s="6" t="s">
        <v>26</v>
      </c>
    </row>
    <row r="17" spans="2:8" x14ac:dyDescent="0.3">
      <c r="B17" s="3" t="s">
        <v>40</v>
      </c>
      <c r="C17" s="3" t="s">
        <v>47</v>
      </c>
      <c r="D17" s="3">
        <v>216.16666666666666</v>
      </c>
      <c r="E17" s="3">
        <v>0</v>
      </c>
      <c r="F17" s="3">
        <v>661</v>
      </c>
      <c r="G17" s="3">
        <v>1E+30</v>
      </c>
      <c r="H17" s="3">
        <v>444.83333333333337</v>
      </c>
    </row>
    <row r="18" spans="2:8" x14ac:dyDescent="0.3">
      <c r="B18" s="3" t="s">
        <v>41</v>
      </c>
      <c r="C18" s="3" t="s">
        <v>48</v>
      </c>
      <c r="D18" s="3">
        <v>458</v>
      </c>
      <c r="E18" s="3">
        <v>4.416666666666667</v>
      </c>
      <c r="F18" s="3">
        <v>458</v>
      </c>
      <c r="G18" s="3">
        <v>365.21428571428572</v>
      </c>
      <c r="H18" s="3">
        <v>190.5</v>
      </c>
    </row>
    <row r="19" spans="2:8" x14ac:dyDescent="0.3">
      <c r="B19" s="3" t="s">
        <v>42</v>
      </c>
      <c r="C19" s="3" t="s">
        <v>49</v>
      </c>
      <c r="D19" s="3">
        <v>578.91666666666663</v>
      </c>
      <c r="E19" s="3">
        <v>0</v>
      </c>
      <c r="F19" s="3">
        <v>1005</v>
      </c>
      <c r="G19" s="3">
        <v>1E+30</v>
      </c>
      <c r="H19" s="3">
        <v>426.08333333333337</v>
      </c>
    </row>
    <row r="20" spans="2:8" x14ac:dyDescent="0.3">
      <c r="B20" s="3" t="s">
        <v>43</v>
      </c>
      <c r="C20" s="3" t="s">
        <v>50</v>
      </c>
      <c r="D20" s="3">
        <v>535</v>
      </c>
      <c r="E20" s="3">
        <v>6.9583333333333321</v>
      </c>
      <c r="F20" s="3">
        <v>535</v>
      </c>
      <c r="G20" s="3">
        <v>381</v>
      </c>
      <c r="H20" s="3">
        <v>351.8</v>
      </c>
    </row>
    <row r="21" spans="2:8" ht="15" thickBot="1" x14ac:dyDescent="0.35">
      <c r="B21" s="4" t="s">
        <v>44</v>
      </c>
      <c r="C21" s="4" t="s">
        <v>51</v>
      </c>
      <c r="D21" s="4">
        <v>146.58333333333331</v>
      </c>
      <c r="E21" s="4">
        <v>0</v>
      </c>
      <c r="F21" s="4">
        <v>788</v>
      </c>
      <c r="G21" s="4">
        <v>1E+30</v>
      </c>
      <c r="H21" s="4">
        <v>641.41666666666674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136F-6D82-43A8-8CBD-6FE58982DB69}">
  <dimension ref="A1:G26"/>
  <sheetViews>
    <sheetView tabSelected="1" workbookViewId="0">
      <selection activeCell="I11" sqref="I1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</row>
    <row r="2" spans="1:7" x14ac:dyDescent="0.3">
      <c r="A2" s="1" t="s">
        <v>10</v>
      </c>
      <c r="B2">
        <v>0</v>
      </c>
      <c r="C2">
        <v>73.291666666666657</v>
      </c>
      <c r="D2">
        <v>47.625</v>
      </c>
      <c r="E2">
        <v>0</v>
      </c>
    </row>
    <row r="3" spans="1:7" x14ac:dyDescent="0.3">
      <c r="A3" t="s">
        <v>11</v>
      </c>
      <c r="B3">
        <v>39</v>
      </c>
      <c r="C3">
        <v>55</v>
      </c>
      <c r="D3">
        <v>36</v>
      </c>
      <c r="E3">
        <v>26</v>
      </c>
    </row>
    <row r="5" spans="1:7" x14ac:dyDescent="0.3">
      <c r="A5" s="1" t="s">
        <v>9</v>
      </c>
      <c r="C5">
        <f>SUMPRODUCT(B2:E2, B3:E3)</f>
        <v>5745.5416666666661</v>
      </c>
    </row>
    <row r="8" spans="1:7" x14ac:dyDescent="0.3">
      <c r="B8" t="s">
        <v>0</v>
      </c>
      <c r="C8" t="s">
        <v>1</v>
      </c>
      <c r="D8" t="s">
        <v>2</v>
      </c>
      <c r="E8" t="s">
        <v>3</v>
      </c>
      <c r="F8" t="s">
        <v>45</v>
      </c>
      <c r="G8" t="s">
        <v>12</v>
      </c>
    </row>
    <row r="9" spans="1:7" x14ac:dyDescent="0.3">
      <c r="A9" t="s">
        <v>4</v>
      </c>
      <c r="B9">
        <v>5</v>
      </c>
      <c r="C9">
        <v>2</v>
      </c>
      <c r="D9">
        <v>0</v>
      </c>
      <c r="E9">
        <v>5</v>
      </c>
      <c r="F9">
        <f>SUMPRODUCT($B$2:$E$2, B9:E9)</f>
        <v>146.58333333333331</v>
      </c>
      <c r="G9">
        <v>788</v>
      </c>
    </row>
    <row r="10" spans="1:7" x14ac:dyDescent="0.3">
      <c r="A10" t="s">
        <v>5</v>
      </c>
      <c r="B10">
        <v>1</v>
      </c>
      <c r="C10">
        <v>1</v>
      </c>
      <c r="D10">
        <v>3</v>
      </c>
      <c r="E10">
        <v>6</v>
      </c>
      <c r="F10">
        <f t="shared" ref="F10:F13" si="0">SUMPRODUCT($B$2:$E$2, B10:E10)</f>
        <v>216.16666666666666</v>
      </c>
      <c r="G10">
        <v>661</v>
      </c>
    </row>
    <row r="11" spans="1:7" x14ac:dyDescent="0.3">
      <c r="A11" t="s">
        <v>6</v>
      </c>
      <c r="B11">
        <v>6</v>
      </c>
      <c r="C11">
        <v>3</v>
      </c>
      <c r="D11">
        <v>5</v>
      </c>
      <c r="E11">
        <v>4</v>
      </c>
      <c r="F11">
        <f t="shared" si="0"/>
        <v>458</v>
      </c>
      <c r="G11">
        <v>458</v>
      </c>
    </row>
    <row r="12" spans="1:7" x14ac:dyDescent="0.3">
      <c r="A12" t="s">
        <v>7</v>
      </c>
      <c r="B12">
        <v>2</v>
      </c>
      <c r="C12">
        <v>4</v>
      </c>
      <c r="D12">
        <v>6</v>
      </c>
      <c r="E12">
        <v>0</v>
      </c>
      <c r="F12">
        <f t="shared" si="0"/>
        <v>578.91666666666663</v>
      </c>
      <c r="G12">
        <v>1005</v>
      </c>
    </row>
    <row r="13" spans="1:7" x14ac:dyDescent="0.3">
      <c r="A13" t="s">
        <v>8</v>
      </c>
      <c r="B13">
        <v>4</v>
      </c>
      <c r="C13">
        <v>6</v>
      </c>
      <c r="D13">
        <v>2</v>
      </c>
      <c r="E13">
        <v>4</v>
      </c>
      <c r="F13">
        <f t="shared" si="0"/>
        <v>535</v>
      </c>
      <c r="G13">
        <v>535</v>
      </c>
    </row>
    <row r="16" spans="1:7" x14ac:dyDescent="0.3">
      <c r="A16" s="1"/>
    </row>
    <row r="26" spans="1:1" x14ac:dyDescent="0.3">
      <c r="A26" s="1"/>
    </row>
  </sheetData>
  <scenarios current="0">
    <scenario name="2.1" count="4" user="Bodik" comment="Created by Bodik on 9/29/2026">
      <inputCells r="B2" val="0"/>
      <inputCells r="C2" val="0"/>
      <inputCells r="D2" val="0"/>
      <inputCells r="E2" val="0"/>
    </scenario>
  </scenario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Bodik</dc:creator>
  <cp:lastModifiedBy>Bodik</cp:lastModifiedBy>
  <dcterms:created xsi:type="dcterms:W3CDTF">2026-09-29T15:34:44Z</dcterms:created>
  <dcterms:modified xsi:type="dcterms:W3CDTF">2026-10-06T13:36:04Z</dcterms:modified>
</cp:coreProperties>
</file>